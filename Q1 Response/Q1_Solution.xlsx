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shutoshgoel/Downloads/MHLondon/Solutions/"/>
    </mc:Choice>
  </mc:AlternateContent>
  <xr:revisionPtr revIDLastSave="0" documentId="13_ncr:1_{A90FC641-2F87-BC44-88E1-887CD811B77A}" xr6:coauthVersionLast="47" xr6:coauthVersionMax="47" xr10:uidLastSave="{00000000-0000-0000-0000-000000000000}"/>
  <bookViews>
    <workbookView xWindow="0" yWindow="660" windowWidth="29400" windowHeight="16240" tabRatio="500" activeTab="1" xr2:uid="{00000000-000D-0000-FFFF-FFFF00000000}"/>
  </bookViews>
  <sheets>
    <sheet name="Inventory_Raw" sheetId="1" r:id="rId1"/>
    <sheet name="Cleaned_Data" sheetId="2" r:id="rId2"/>
    <sheet name="RoS_Forecast" sheetId="3" r:id="rId3"/>
    <sheet name="Replenishment_Plan" sheetId="4" r:id="rId4"/>
  </sheets>
  <definedNames>
    <definedName name="_xlnm._FilterDatabase" localSheetId="3" hidden="1">Replenishment_Plan!$K$1:$K$23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9" i="4" l="1"/>
  <c r="F17" i="4"/>
  <c r="J8" i="4"/>
  <c r="H8" i="4"/>
  <c r="J7" i="4"/>
  <c r="H7" i="4"/>
  <c r="J6" i="4"/>
  <c r="H6" i="4"/>
  <c r="J5" i="4"/>
  <c r="H5" i="4"/>
  <c r="J4" i="4"/>
  <c r="H4" i="4"/>
  <c r="J3" i="4"/>
  <c r="H3" i="4"/>
  <c r="J2" i="4"/>
  <c r="H2" i="4"/>
  <c r="F12" i="3"/>
  <c r="G12" i="3" s="1"/>
  <c r="E12" i="3"/>
  <c r="D12" i="3"/>
  <c r="F11" i="3"/>
  <c r="G11" i="3" s="1"/>
  <c r="E11" i="3"/>
  <c r="D11" i="3"/>
  <c r="F10" i="3"/>
  <c r="G10" i="3" s="1"/>
  <c r="E10" i="3"/>
  <c r="D10" i="3"/>
  <c r="F9" i="3"/>
  <c r="G9" i="3" s="1"/>
  <c r="E9" i="3"/>
  <c r="D9" i="3"/>
  <c r="F8" i="3"/>
  <c r="G8" i="3" s="1"/>
  <c r="H8" i="3" s="1"/>
  <c r="I8" i="3" s="1"/>
  <c r="K8" i="3" s="1"/>
  <c r="L8" i="3" s="1"/>
  <c r="M8" i="3" s="1"/>
  <c r="E8" i="3"/>
  <c r="D8" i="3"/>
  <c r="F7" i="3"/>
  <c r="G7" i="3" s="1"/>
  <c r="H7" i="3" s="1"/>
  <c r="I7" i="3" s="1"/>
  <c r="K7" i="3" s="1"/>
  <c r="L7" i="3" s="1"/>
  <c r="E7" i="3"/>
  <c r="D7" i="3"/>
  <c r="F6" i="3"/>
  <c r="G6" i="3" s="1"/>
  <c r="E6" i="3"/>
  <c r="D6" i="3"/>
  <c r="F5" i="3"/>
  <c r="G5" i="3" s="1"/>
  <c r="E5" i="3"/>
  <c r="D5" i="3"/>
  <c r="F4" i="3"/>
  <c r="G4" i="3" s="1"/>
  <c r="E4" i="3"/>
  <c r="D4" i="3"/>
  <c r="F3" i="3"/>
  <c r="G3" i="3" s="1"/>
  <c r="E3" i="3"/>
  <c r="H3" i="3" s="1"/>
  <c r="I3" i="3" s="1"/>
  <c r="K3" i="3" s="1"/>
  <c r="L3" i="3" s="1"/>
  <c r="D3" i="3"/>
  <c r="F2" i="3"/>
  <c r="G2" i="3" s="1"/>
  <c r="E2" i="3"/>
  <c r="D2" i="3"/>
  <c r="F18" i="4" l="1"/>
  <c r="H2" i="3"/>
  <c r="I2" i="3" s="1"/>
  <c r="K2" i="3" s="1"/>
  <c r="L2" i="3" s="1"/>
  <c r="H10" i="3"/>
  <c r="I10" i="3" s="1"/>
  <c r="K10" i="3" s="1"/>
  <c r="L10" i="3" s="1"/>
  <c r="H4" i="3"/>
  <c r="I4" i="3" s="1"/>
  <c r="K4" i="3" s="1"/>
  <c r="L4" i="3" s="1"/>
  <c r="H9" i="3"/>
  <c r="I9" i="3" s="1"/>
  <c r="K9" i="3" s="1"/>
  <c r="L9" i="3" s="1"/>
  <c r="M9" i="3" s="1"/>
  <c r="D2" i="4" s="1"/>
  <c r="H12" i="3"/>
  <c r="I12" i="3" s="1"/>
  <c r="K12" i="3" s="1"/>
  <c r="L12" i="3" s="1"/>
  <c r="M12" i="3" s="1"/>
  <c r="H6" i="3"/>
  <c r="I6" i="3" s="1"/>
  <c r="K6" i="3" s="1"/>
  <c r="L6" i="3" s="1"/>
  <c r="M6" i="3" s="1"/>
  <c r="D5" i="4" s="1"/>
  <c r="C4" i="4"/>
  <c r="M2" i="3"/>
  <c r="D4" i="4" s="1"/>
  <c r="M3" i="3"/>
  <c r="D8" i="4" s="1"/>
  <c r="C8" i="4"/>
  <c r="C3" i="4"/>
  <c r="M7" i="3"/>
  <c r="D3" i="4" s="1"/>
  <c r="C2" i="4"/>
  <c r="M4" i="3"/>
  <c r="D7" i="4" s="1"/>
  <c r="C7" i="4"/>
  <c r="C6" i="4"/>
  <c r="M10" i="3"/>
  <c r="D6" i="4" s="1"/>
  <c r="H5" i="3"/>
  <c r="I5" i="3" s="1"/>
  <c r="K5" i="3" s="1"/>
  <c r="L5" i="3" s="1"/>
  <c r="M5" i="3" s="1"/>
  <c r="H11" i="3"/>
  <c r="I11" i="3" s="1"/>
  <c r="K11" i="3" s="1"/>
  <c r="L11" i="3" s="1"/>
  <c r="M11" i="3" s="1"/>
  <c r="C5" i="4" l="1"/>
</calcChain>
</file>

<file path=xl/sharedStrings.xml><?xml version="1.0" encoding="utf-8"?>
<sst xmlns="http://schemas.openxmlformats.org/spreadsheetml/2006/main" count="274" uniqueCount="106">
  <si>
    <t>SKU</t>
  </si>
  <si>
    <t>Product Name</t>
  </si>
  <si>
    <t>Channel</t>
  </si>
  <si>
    <t>Current Stock</t>
  </si>
  <si>
    <t>Units Sold (L30D)</t>
  </si>
  <si>
    <t>Units Sold (30-60D)</t>
  </si>
  <si>
    <t>Units Sold (60-90D)</t>
  </si>
  <si>
    <t>Returns (90D)</t>
  </si>
  <si>
    <t>Lead Time (Days)</t>
  </si>
  <si>
    <t>MOQ</t>
  </si>
  <si>
    <t>Reorder Point</t>
  </si>
  <si>
    <t>Unit Cost ($)</t>
  </si>
  <si>
    <t>Selling Price ($)</t>
  </si>
  <si>
    <t>Notes</t>
  </si>
  <si>
    <t>MH-VS-25017</t>
  </si>
  <si>
    <t>Vase - Terracotta 10in</t>
  </si>
  <si>
    <t>Amazon</t>
  </si>
  <si>
    <t>DUPLICATE - check</t>
  </si>
  <si>
    <t>MH-BD-11500</t>
  </si>
  <si>
    <t>Bed Frame - King Oak</t>
  </si>
  <si>
    <t>FBA - check fees</t>
  </si>
  <si>
    <t>mh-bd-11500</t>
  </si>
  <si>
    <t>Bed Frame King Oak</t>
  </si>
  <si>
    <t>Wayfair</t>
  </si>
  <si>
    <t>Inconsistent SKU naming</t>
  </si>
  <si>
    <t>MH-SC-4402</t>
  </si>
  <si>
    <t>Sconce - Brushed Nickel</t>
  </si>
  <si>
    <t>Stock count missing - last audit 2 weeks ago</t>
  </si>
  <si>
    <t>MH-RG-7701</t>
  </si>
  <si>
    <t>Area Rug 5x8 Grey</t>
  </si>
  <si>
    <t>High stock - slow mover</t>
  </si>
  <si>
    <t>MH-LG-3301</t>
  </si>
  <si>
    <t>Floor Lamp - Arc Black</t>
  </si>
  <si>
    <t>SPIKE: sales jumped 5x in last 30d - viral TikTok</t>
  </si>
  <si>
    <t>MH-MR-9901</t>
  </si>
  <si>
    <t>Mirror - Arch 24x36</t>
  </si>
  <si>
    <t>Negative stock - returns &gt; shipped; investigate</t>
  </si>
  <si>
    <t>MH-CB-0055</t>
  </si>
  <si>
    <t>Cabinet - Rattan 3-Door</t>
  </si>
  <si>
    <t>Listing suppressed - no sales 90 days</t>
  </si>
  <si>
    <t>MH-CU-1122</t>
  </si>
  <si>
    <t>Cushion Cover 18x18 Set</t>
  </si>
  <si>
    <t>FBA replen needed - check IPI score</t>
  </si>
  <si>
    <t>MH-PL-5510</t>
  </si>
  <si>
    <t>Planter - Ceramic White</t>
  </si>
  <si>
    <t>STOCKOUT - active campaigns running</t>
  </si>
  <si>
    <t>Current Stock (Units)</t>
  </si>
  <si>
    <t>Units Sold L30D</t>
  </si>
  <si>
    <t>Units Sold 30-60D</t>
  </si>
  <si>
    <t>Units Sold 60-90D</t>
  </si>
  <si>
    <t>Status Flag</t>
  </si>
  <si>
    <t>OK</t>
  </si>
  <si>
    <t>ASSUMPTION</t>
  </si>
  <si>
    <t>ASSUMPTION: Stock set to 28 (avg of L30D/30-60D run-rate proxy). Last physical audit 2 weeks ago. Must recount before replen order is placed.</t>
  </si>
  <si>
    <t>OVERSTOCK</t>
  </si>
  <si>
    <t>TIKTOK SPIKE</t>
  </si>
  <si>
    <t>EXCLUDED</t>
  </si>
  <si>
    <t>SLOW MOVER</t>
  </si>
  <si>
    <t>SUPPRESSED</t>
  </si>
  <si>
    <t>STOCKOUT</t>
  </si>
  <si>
    <t>Gross L30D Sales</t>
  </si>
  <si>
    <t>Returns Adj (30D)</t>
  </si>
  <si>
    <t>Net L30D Sales</t>
  </si>
  <si>
    <t>Normal Daily RoS</t>
  </si>
  <si>
    <t>Peak Uplift Factor</t>
  </si>
  <si>
    <t>Peak-Adj Daily RoS</t>
  </si>
  <si>
    <t>Days of Stock Remaining</t>
  </si>
  <si>
    <t>Risk Category</t>
  </si>
  <si>
    <t>Spike also visible on Wayfair. L30D baseline per constraints.</t>
  </si>
  <si>
    <t>Flagship SKU (client contract). Critical stock. Lead=35d will miss peak.</t>
  </si>
  <si>
    <t>Stock is ESTIMATED (28u). Validate with physical count before ordering.</t>
  </si>
  <si>
    <t>Fastest mover. FBA IPI check mandatory before inbound shipment.</t>
  </si>
  <si>
    <t>STOCKOUT. Days cover = 0. Pause ads immediately.</t>
  </si>
  <si>
    <t>Overstock. 300+ days cover. No replen needed.</t>
  </si>
  <si>
    <t>Overstock.</t>
  </si>
  <si>
    <t>⛔ EXCLUDED</t>
  </si>
  <si>
    <t>Negative stock (-7). Finance investigation. Not included in RoS or replenishment per constraints sheet.</t>
  </si>
  <si>
    <t>Days of Cover</t>
  </si>
  <si>
    <t>Units to Order</t>
  </si>
  <si>
    <t>Total Cost ($)</t>
  </si>
  <si>
    <t>Arrives Before Peak?</t>
  </si>
  <si>
    <t>Priority (1-3)</t>
  </si>
  <si>
    <t>ASSUMPTIONS (blue = inputs)</t>
  </si>
  <si>
    <t>Total Budget ($)</t>
  </si>
  <si>
    <t>Total replenishment budget</t>
  </si>
  <si>
    <t>Max per SKU ($)</t>
  </si>
  <si>
    <t>Maximum spend on any single SKU</t>
  </si>
  <si>
    <t>FBA Unit Cap</t>
  </si>
  <si>
    <t>Combined FBA units — all SKUs</t>
  </si>
  <si>
    <t>Peak in (Days)</t>
  </si>
  <si>
    <t>Days until peak season starts</t>
  </si>
  <si>
    <t>N/A</t>
  </si>
  <si>
    <t>—</t>
  </si>
  <si>
    <t>BUDGET UTILISATION SUMMARY</t>
  </si>
  <si>
    <t>Total Budget Available</t>
  </si>
  <si>
    <t>Total Spend (orderable SKUs)</t>
  </si>
  <si>
    <t>Remaining Budget</t>
  </si>
  <si>
    <t>BD-11500 Status</t>
  </si>
  <si>
    <t>CANNOT ORDER — MOQ cost $4,725 exceeds $4,000 cap. Escalate.</t>
  </si>
  <si>
    <t>LG-3301 Wayfair Status</t>
  </si>
  <si>
    <t>Budget cap conflict — needs CFO review. Combined cost $6,200 vs $4,000 cap.</t>
  </si>
  <si>
    <t>SKUs Missing Peak (lead &gt; 15d)</t>
  </si>
  <si>
    <t>LG-3301 Amazon, LG-3301 Wayfair, BD-11500 Amazon, VS-25017 Amazon, PL-5510 Amazon</t>
  </si>
  <si>
    <t>Recommended Alternative</t>
  </si>
  <si>
    <t>FBM listing + 3PL with &lt;10 day lead for LG-3301 and BD-11500 to capture peak</t>
  </si>
  <si>
    <t>TikTok spike: L30D treated as new normal RoS baseline. Do not average with prior 60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</si>
</sst>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\$#,##0"/>
    <numFmt numFmtId="167" formatCode="\—"/>
    <numFmt numFmtId="168" formatCode="&quot;$—&quot;"/>
  </numFmts>
  <fonts count="23" x14ac:knownFonts="1">
    <font>
      <sz val="11"/>
      <color theme="1"/>
      <name val="Calibri"/>
      <family val="2"/>
      <charset val="1"/>
    </font>
    <font>
      <b/>
      <sz val="10"/>
      <color rgb="FFFFFFFF"/>
      <name val="Calibri"/>
      <charset val="1"/>
    </font>
    <font>
      <sz val="10"/>
      <color rgb="FF000000"/>
      <name val="Calibri"/>
      <charset val="1"/>
    </font>
    <font>
      <b/>
      <sz val="10"/>
      <name val="Calibri"/>
      <charset val="1"/>
    </font>
    <font>
      <sz val="10"/>
      <color rgb="FF0000FF"/>
      <name val="Calibri"/>
      <charset val="1"/>
    </font>
    <font>
      <i/>
      <sz val="10"/>
      <color rgb="FF888888"/>
      <name val="Calibri"/>
      <charset val="1"/>
    </font>
    <font>
      <b/>
      <sz val="10"/>
      <color rgb="FF888888"/>
      <name val="Calibri"/>
      <charset val="1"/>
    </font>
    <font>
      <b/>
      <sz val="10"/>
      <color rgb="FF0000FF"/>
      <name val="Calibri"/>
      <charset val="1"/>
    </font>
    <font>
      <sz val="10"/>
      <name val="Calibri"/>
      <charset val="1"/>
    </font>
    <font>
      <b/>
      <sz val="10"/>
      <color rgb="FFCC0000"/>
      <name val="Calibri"/>
      <charset val="1"/>
    </font>
    <font>
      <i/>
      <sz val="9"/>
      <color rgb="FF595959"/>
      <name val="Calibri"/>
      <charset val="1"/>
    </font>
    <font>
      <sz val="10"/>
      <color rgb="FFFF6600"/>
      <name val="Calibri"/>
      <charset val="1"/>
    </font>
    <font>
      <sz val="10"/>
      <color rgb="FF888888"/>
      <name val="Calibri"/>
      <charset val="1"/>
    </font>
    <font>
      <b/>
      <sz val="10"/>
      <color rgb="FF000000"/>
      <name val="Calibri"/>
      <charset val="1"/>
    </font>
    <font>
      <b/>
      <sz val="10"/>
      <color rgb="FF006100"/>
      <name val="Calibri"/>
      <charset val="1"/>
    </font>
    <font>
      <sz val="10"/>
      <color rgb="FFCC0000"/>
      <name val="Calibri"/>
      <charset val="1"/>
    </font>
    <font>
      <b/>
      <sz val="10"/>
      <name val="Calibri"/>
      <family val="2"/>
    </font>
    <font>
      <sz val="10"/>
      <color rgb="FF000000"/>
      <name val="Calibri"/>
      <family val="2"/>
    </font>
    <font>
      <sz val="11"/>
      <color theme="0"/>
      <name val="Calibri"/>
      <family val="2"/>
      <charset val="1"/>
    </font>
    <font>
      <b/>
      <sz val="10"/>
      <color rgb="FFFFFFFF"/>
      <name val="Calibri"/>
      <family val="2"/>
    </font>
    <font>
      <b/>
      <sz val="11"/>
      <color theme="1"/>
      <name val="Calibri"/>
      <family val="2"/>
    </font>
    <font>
      <b/>
      <sz val="10"/>
      <color rgb="FF888888"/>
      <name val="Calibri"/>
      <family val="2"/>
    </font>
    <font>
      <b/>
      <sz val="10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2F5496"/>
        <bgColor rgb="FF1F4E79"/>
      </patternFill>
    </fill>
    <fill>
      <patternFill patternType="solid">
        <fgColor rgb="FFFFE0E0"/>
        <bgColor rgb="FFFFD9FF"/>
      </patternFill>
    </fill>
    <fill>
      <patternFill patternType="solid">
        <fgColor rgb="FFFFF2CC"/>
        <bgColor rgb="FFF0F0F0"/>
      </patternFill>
    </fill>
    <fill>
      <patternFill patternType="solid">
        <fgColor rgb="FFFFB3B3"/>
        <bgColor rgb="FFFFD9A0"/>
      </patternFill>
    </fill>
    <fill>
      <patternFill patternType="solid">
        <fgColor rgb="FFFFD9FF"/>
        <bgColor rgb="FFFFE0E0"/>
      </patternFill>
    </fill>
    <fill>
      <patternFill patternType="solid">
        <fgColor rgb="FF1F4E79"/>
        <bgColor rgb="FF2F5496"/>
      </patternFill>
    </fill>
    <fill>
      <patternFill patternType="solid">
        <fgColor rgb="FFC6EFCE"/>
        <bgColor rgb="FFE2EFDA"/>
      </patternFill>
    </fill>
    <fill>
      <patternFill patternType="solid">
        <fgColor rgb="FFFFFFFF"/>
        <bgColor rgb="FFF0F0F0"/>
      </patternFill>
    </fill>
    <fill>
      <patternFill patternType="solid">
        <fgColor rgb="FFBDD7EE"/>
        <bgColor rgb="FFD9D9D9"/>
      </patternFill>
    </fill>
    <fill>
      <patternFill patternType="solid">
        <fgColor rgb="FFE2EFDA"/>
        <bgColor rgb="FFF0F0F0"/>
      </patternFill>
    </fill>
    <fill>
      <patternFill patternType="solid">
        <fgColor rgb="FFD9D9D9"/>
        <bgColor rgb="FFD9E1F2"/>
      </patternFill>
    </fill>
    <fill>
      <patternFill patternType="solid">
        <fgColor rgb="FFFFD9A0"/>
        <bgColor rgb="FFFFE0E0"/>
      </patternFill>
    </fill>
    <fill>
      <patternFill patternType="solid">
        <fgColor rgb="FFF0F0F0"/>
        <bgColor rgb="FFE2EFDA"/>
      </patternFill>
    </fill>
    <fill>
      <patternFill patternType="solid">
        <fgColor rgb="FFD9E1F2"/>
        <bgColor rgb="FFD9D9D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6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1" fontId="2" fillId="0" borderId="1" xfId="0" applyNumberFormat="1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0" fillId="14" borderId="1" xfId="0" applyFill="1" applyBorder="1" applyAlignment="1">
      <alignment horizontal="left"/>
    </xf>
    <xf numFmtId="0" fontId="0" fillId="0" borderId="0" xfId="0" applyAlignment="1">
      <alignment vertical="center"/>
    </xf>
    <xf numFmtId="166" fontId="8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6" fontId="7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1" fontId="7" fillId="0" borderId="1" xfId="0" applyNumberFormat="1" applyFont="1" applyBorder="1" applyAlignment="1">
      <alignment vertical="center"/>
    </xf>
    <xf numFmtId="167" fontId="8" fillId="0" borderId="1" xfId="0" applyNumberFormat="1" applyFont="1" applyBorder="1" applyAlignment="1">
      <alignment horizontal="center" vertical="center"/>
    </xf>
    <xf numFmtId="168" fontId="8" fillId="0" borderId="1" xfId="0" applyNumberFormat="1" applyFont="1" applyBorder="1" applyAlignment="1">
      <alignment horizontal="center" vertical="center"/>
    </xf>
    <xf numFmtId="0" fontId="3" fillId="15" borderId="1" xfId="0" applyFont="1" applyFill="1" applyBorder="1" applyAlignment="1">
      <alignment vertical="center"/>
    </xf>
    <xf numFmtId="49" fontId="15" fillId="5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0" fontId="9" fillId="0" borderId="1" xfId="0" applyNumberFormat="1" applyFont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166" fontId="13" fillId="0" borderId="1" xfId="0" applyNumberFormat="1" applyFont="1" applyBorder="1" applyAlignment="1">
      <alignment horizontal="left" vertical="center" wrapText="1"/>
    </xf>
    <xf numFmtId="166" fontId="14" fillId="8" borderId="1" xfId="0" applyNumberFormat="1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8" fillId="0" borderId="0" xfId="0" applyFont="1" applyBorder="1" applyAlignment="1">
      <alignment vertical="center"/>
    </xf>
    <xf numFmtId="0" fontId="1" fillId="7" borderId="3" xfId="0" applyFont="1" applyFill="1" applyBorder="1" applyAlignment="1">
      <alignment vertical="center"/>
    </xf>
    <xf numFmtId="0" fontId="19" fillId="7" borderId="1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left"/>
    </xf>
    <xf numFmtId="0" fontId="21" fillId="14" borderId="1" xfId="0" applyFont="1" applyFill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D9D9D9"/>
      <rgbColor rgb="FF888888"/>
      <rgbColor rgb="FF9999FF"/>
      <rgbColor rgb="FF993366"/>
      <rgbColor rgb="FFFFF2CC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C6EFCE"/>
      <rgbColor rgb="FFFFE0E0"/>
      <rgbColor rgb="FFD9E1F2"/>
      <rgbColor rgb="FFFFB3B3"/>
      <rgbColor rgb="FFFFD9FF"/>
      <rgbColor rgb="FFFFD9A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79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zoomScaleNormal="100" workbookViewId="0">
      <selection activeCell="N12" sqref="N12"/>
    </sheetView>
  </sheetViews>
  <sheetFormatPr baseColWidth="10" defaultColWidth="8.6640625" defaultRowHeight="15" x14ac:dyDescent="0.2"/>
  <cols>
    <col min="1" max="1" width="14" customWidth="1"/>
    <col min="2" max="2" width="26" customWidth="1"/>
    <col min="3" max="3" width="10" customWidth="1"/>
    <col min="4" max="4" width="13" customWidth="1"/>
    <col min="5" max="5" width="14" customWidth="1"/>
    <col min="6" max="6" width="15" customWidth="1"/>
    <col min="7" max="7" width="16" customWidth="1"/>
    <col min="8" max="8" width="12" customWidth="1"/>
    <col min="9" max="9" width="14" customWidth="1"/>
    <col min="10" max="10" width="7" customWidth="1"/>
    <col min="11" max="11" width="13" customWidth="1"/>
    <col min="12" max="12" width="12" customWidth="1"/>
    <col min="13" max="13" width="14" customWidth="1"/>
    <col min="14" max="14" width="50" customWidth="1"/>
  </cols>
  <sheetData>
    <row r="1" spans="1:14" ht="27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 t="s">
        <v>14</v>
      </c>
      <c r="B2" s="2" t="s">
        <v>15</v>
      </c>
      <c r="C2" s="2" t="s">
        <v>16</v>
      </c>
      <c r="D2" s="2">
        <v>45</v>
      </c>
      <c r="E2" s="2">
        <v>78</v>
      </c>
      <c r="F2" s="2">
        <v>82</v>
      </c>
      <c r="G2" s="2">
        <v>91</v>
      </c>
      <c r="H2" s="2">
        <v>4</v>
      </c>
      <c r="I2" s="2">
        <v>21</v>
      </c>
      <c r="J2" s="2">
        <v>50</v>
      </c>
      <c r="K2" s="2">
        <v>80</v>
      </c>
      <c r="L2" s="2">
        <v>28</v>
      </c>
      <c r="M2" s="2">
        <v>79</v>
      </c>
      <c r="N2" s="2"/>
    </row>
    <row r="3" spans="1:14" x14ac:dyDescent="0.2">
      <c r="A3" s="2" t="s">
        <v>14</v>
      </c>
      <c r="B3" s="2" t="s">
        <v>15</v>
      </c>
      <c r="C3" s="2" t="s">
        <v>16</v>
      </c>
      <c r="D3" s="2">
        <v>45</v>
      </c>
      <c r="E3" s="2">
        <v>78</v>
      </c>
      <c r="F3" s="2">
        <v>82</v>
      </c>
      <c r="G3" s="2">
        <v>91</v>
      </c>
      <c r="H3" s="2">
        <v>4</v>
      </c>
      <c r="I3" s="2">
        <v>21</v>
      </c>
      <c r="J3" s="2">
        <v>50</v>
      </c>
      <c r="K3" s="2">
        <v>80</v>
      </c>
      <c r="L3" s="2">
        <v>28</v>
      </c>
      <c r="M3" s="2">
        <v>79</v>
      </c>
      <c r="N3" s="3" t="s">
        <v>17</v>
      </c>
    </row>
    <row r="4" spans="1:14" x14ac:dyDescent="0.2">
      <c r="A4" s="2" t="s">
        <v>18</v>
      </c>
      <c r="B4" s="2" t="s">
        <v>19</v>
      </c>
      <c r="C4" s="2" t="s">
        <v>16</v>
      </c>
      <c r="D4" s="2">
        <v>8</v>
      </c>
      <c r="E4" s="2">
        <v>23</v>
      </c>
      <c r="F4" s="2">
        <v>19</v>
      </c>
      <c r="G4" s="2">
        <v>27</v>
      </c>
      <c r="H4" s="2">
        <v>1</v>
      </c>
      <c r="I4" s="2">
        <v>35</v>
      </c>
      <c r="J4" s="2">
        <v>25</v>
      </c>
      <c r="K4" s="2">
        <v>40</v>
      </c>
      <c r="L4" s="2">
        <v>189</v>
      </c>
      <c r="M4" s="2">
        <v>499</v>
      </c>
      <c r="N4" s="2" t="s">
        <v>20</v>
      </c>
    </row>
    <row r="5" spans="1:14" x14ac:dyDescent="0.2">
      <c r="A5" s="2" t="s">
        <v>21</v>
      </c>
      <c r="B5" s="2" t="s">
        <v>22</v>
      </c>
      <c r="C5" s="2" t="s">
        <v>23</v>
      </c>
      <c r="D5" s="2">
        <v>12</v>
      </c>
      <c r="E5" s="2">
        <v>15</v>
      </c>
      <c r="F5" s="2">
        <v>11</v>
      </c>
      <c r="G5" s="2">
        <v>9</v>
      </c>
      <c r="H5" s="2">
        <v>2</v>
      </c>
      <c r="I5" s="2">
        <v>28</v>
      </c>
      <c r="J5" s="2">
        <v>20</v>
      </c>
      <c r="K5" s="2">
        <v>30</v>
      </c>
      <c r="L5" s="2">
        <v>189</v>
      </c>
      <c r="M5" s="2">
        <v>529</v>
      </c>
      <c r="N5" s="4" t="s">
        <v>24</v>
      </c>
    </row>
    <row r="6" spans="1:14" x14ac:dyDescent="0.2">
      <c r="A6" s="2" t="s">
        <v>25</v>
      </c>
      <c r="B6" s="2" t="s">
        <v>26</v>
      </c>
      <c r="C6" s="2" t="s">
        <v>16</v>
      </c>
      <c r="D6" s="2"/>
      <c r="E6" s="2">
        <v>34</v>
      </c>
      <c r="F6" s="2">
        <v>29</v>
      </c>
      <c r="G6" s="2">
        <v>31</v>
      </c>
      <c r="H6" s="2">
        <v>6</v>
      </c>
      <c r="I6" s="2">
        <v>14</v>
      </c>
      <c r="J6" s="2">
        <v>40</v>
      </c>
      <c r="K6" s="2">
        <v>50</v>
      </c>
      <c r="L6" s="2">
        <v>22</v>
      </c>
      <c r="M6" s="2">
        <v>65</v>
      </c>
      <c r="N6" s="2" t="s">
        <v>27</v>
      </c>
    </row>
    <row r="7" spans="1:14" x14ac:dyDescent="0.2">
      <c r="A7" s="2" t="s">
        <v>25</v>
      </c>
      <c r="B7" s="2" t="s">
        <v>26</v>
      </c>
      <c r="C7" s="2" t="s">
        <v>23</v>
      </c>
      <c r="D7" s="2">
        <v>19</v>
      </c>
      <c r="E7" s="2">
        <v>11</v>
      </c>
      <c r="F7" s="2">
        <v>8</v>
      </c>
      <c r="G7" s="2">
        <v>14</v>
      </c>
      <c r="H7" s="2">
        <v>2</v>
      </c>
      <c r="I7" s="2">
        <v>14</v>
      </c>
      <c r="J7" s="2">
        <v>40</v>
      </c>
      <c r="K7" s="2">
        <v>30</v>
      </c>
      <c r="L7" s="2">
        <v>22</v>
      </c>
      <c r="M7" s="2">
        <v>72</v>
      </c>
      <c r="N7" s="2"/>
    </row>
    <row r="8" spans="1:14" x14ac:dyDescent="0.2">
      <c r="A8" s="2" t="s">
        <v>28</v>
      </c>
      <c r="B8" s="2" t="s">
        <v>29</v>
      </c>
      <c r="C8" s="2" t="s">
        <v>16</v>
      </c>
      <c r="D8" s="2">
        <v>220</v>
      </c>
      <c r="E8" s="2">
        <v>12</v>
      </c>
      <c r="F8" s="2">
        <v>9</v>
      </c>
      <c r="G8" s="2">
        <v>8</v>
      </c>
      <c r="H8" s="2">
        <v>0</v>
      </c>
      <c r="I8" s="2">
        <v>45</v>
      </c>
      <c r="J8" s="2">
        <v>100</v>
      </c>
      <c r="K8" s="2">
        <v>40</v>
      </c>
      <c r="L8" s="2">
        <v>67</v>
      </c>
      <c r="M8" s="2">
        <v>189</v>
      </c>
      <c r="N8" s="2" t="s">
        <v>30</v>
      </c>
    </row>
    <row r="9" spans="1:14" x14ac:dyDescent="0.2">
      <c r="A9" s="2" t="s">
        <v>28</v>
      </c>
      <c r="B9" s="2" t="s">
        <v>29</v>
      </c>
      <c r="C9" s="2" t="s">
        <v>23</v>
      </c>
      <c r="D9" s="2">
        <v>310</v>
      </c>
      <c r="E9" s="2">
        <v>6</v>
      </c>
      <c r="F9" s="2">
        <v>4</v>
      </c>
      <c r="G9" s="2">
        <v>5</v>
      </c>
      <c r="H9" s="2">
        <v>0</v>
      </c>
      <c r="I9" s="2">
        <v>45</v>
      </c>
      <c r="J9" s="2">
        <v>100</v>
      </c>
      <c r="K9" s="2">
        <v>30</v>
      </c>
      <c r="L9" s="2">
        <v>67</v>
      </c>
      <c r="M9" s="2">
        <v>209</v>
      </c>
      <c r="N9" s="2"/>
    </row>
    <row r="10" spans="1:14" x14ac:dyDescent="0.2">
      <c r="A10" s="2" t="s">
        <v>31</v>
      </c>
      <c r="B10" s="2" t="s">
        <v>32</v>
      </c>
      <c r="C10" s="2" t="s">
        <v>16</v>
      </c>
      <c r="D10" s="2">
        <v>3</v>
      </c>
      <c r="E10" s="2">
        <v>67</v>
      </c>
      <c r="F10" s="2">
        <v>58</v>
      </c>
      <c r="G10" s="2">
        <v>12</v>
      </c>
      <c r="H10" s="2">
        <v>3</v>
      </c>
      <c r="I10" s="2">
        <v>28</v>
      </c>
      <c r="J10" s="2">
        <v>50</v>
      </c>
      <c r="K10" s="2">
        <v>70</v>
      </c>
      <c r="L10" s="2">
        <v>44</v>
      </c>
      <c r="M10" s="2">
        <v>139</v>
      </c>
      <c r="N10" s="2" t="s">
        <v>33</v>
      </c>
    </row>
    <row r="11" spans="1:14" x14ac:dyDescent="0.2">
      <c r="A11" s="2" t="s">
        <v>31</v>
      </c>
      <c r="B11" s="2" t="s">
        <v>32</v>
      </c>
      <c r="C11" s="2" t="s">
        <v>23</v>
      </c>
      <c r="D11" s="2">
        <v>2</v>
      </c>
      <c r="E11" s="2">
        <v>41</v>
      </c>
      <c r="F11" s="2">
        <v>9</v>
      </c>
      <c r="G11" s="2">
        <v>7</v>
      </c>
      <c r="H11" s="2">
        <v>1</v>
      </c>
      <c r="I11" s="2">
        <v>28</v>
      </c>
      <c r="J11" s="2">
        <v>50</v>
      </c>
      <c r="K11" s="2">
        <v>50</v>
      </c>
      <c r="L11" s="2">
        <v>44</v>
      </c>
      <c r="M11" s="2">
        <v>159</v>
      </c>
      <c r="N11" s="2"/>
    </row>
    <row r="12" spans="1:14" x14ac:dyDescent="0.2">
      <c r="A12" s="2" t="s">
        <v>34</v>
      </c>
      <c r="B12" s="2" t="s">
        <v>35</v>
      </c>
      <c r="C12" s="2" t="s">
        <v>16</v>
      </c>
      <c r="D12" s="2">
        <v>-7</v>
      </c>
      <c r="E12" s="2">
        <v>55</v>
      </c>
      <c r="F12" s="2">
        <v>48</v>
      </c>
      <c r="G12" s="2">
        <v>51</v>
      </c>
      <c r="H12" s="2">
        <v>18</v>
      </c>
      <c r="I12" s="2">
        <v>21</v>
      </c>
      <c r="J12" s="2">
        <v>50</v>
      </c>
      <c r="K12" s="2">
        <v>80</v>
      </c>
      <c r="L12" s="2">
        <v>35</v>
      </c>
      <c r="M12" s="2">
        <v>119</v>
      </c>
      <c r="N12" s="5" t="s">
        <v>36</v>
      </c>
    </row>
    <row r="13" spans="1:14" x14ac:dyDescent="0.2">
      <c r="A13" s="2" t="s">
        <v>37</v>
      </c>
      <c r="B13" s="2" t="s">
        <v>38</v>
      </c>
      <c r="C13" s="2" t="s">
        <v>16</v>
      </c>
      <c r="D13" s="2">
        <v>91</v>
      </c>
      <c r="E13" s="2">
        <v>3</v>
      </c>
      <c r="F13" s="2">
        <v>2</v>
      </c>
      <c r="G13" s="2">
        <v>1</v>
      </c>
      <c r="H13" s="2">
        <v>0</v>
      </c>
      <c r="I13" s="2">
        <v>60</v>
      </c>
      <c r="J13" s="2">
        <v>25</v>
      </c>
      <c r="K13" s="2">
        <v>10</v>
      </c>
      <c r="L13" s="2">
        <v>210</v>
      </c>
      <c r="M13" s="2">
        <v>599</v>
      </c>
      <c r="N13" s="2"/>
    </row>
    <row r="14" spans="1:14" x14ac:dyDescent="0.2">
      <c r="A14" s="2" t="s">
        <v>37</v>
      </c>
      <c r="B14" s="2" t="s">
        <v>38</v>
      </c>
      <c r="C14" s="2" t="s">
        <v>23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60</v>
      </c>
      <c r="J14" s="2">
        <v>25</v>
      </c>
      <c r="K14" s="2">
        <v>0</v>
      </c>
      <c r="L14" s="2">
        <v>210</v>
      </c>
      <c r="M14" s="2">
        <v>649</v>
      </c>
      <c r="N14" s="6" t="s">
        <v>39</v>
      </c>
    </row>
    <row r="15" spans="1:14" x14ac:dyDescent="0.2">
      <c r="A15" s="2" t="s">
        <v>40</v>
      </c>
      <c r="B15" s="2" t="s">
        <v>41</v>
      </c>
      <c r="C15" s="2" t="s">
        <v>16</v>
      </c>
      <c r="D15" s="2">
        <v>156</v>
      </c>
      <c r="E15" s="2">
        <v>188</v>
      </c>
      <c r="F15" s="2">
        <v>201</v>
      </c>
      <c r="G15" s="2">
        <v>177</v>
      </c>
      <c r="H15" s="2">
        <v>22</v>
      </c>
      <c r="I15" s="2">
        <v>7</v>
      </c>
      <c r="J15" s="2">
        <v>100</v>
      </c>
      <c r="K15" s="2">
        <v>250</v>
      </c>
      <c r="L15" s="2">
        <v>8</v>
      </c>
      <c r="M15" s="2">
        <v>34</v>
      </c>
      <c r="N15" s="2" t="s">
        <v>42</v>
      </c>
    </row>
    <row r="16" spans="1:14" x14ac:dyDescent="0.2">
      <c r="A16" s="2" t="s">
        <v>43</v>
      </c>
      <c r="B16" s="2" t="s">
        <v>44</v>
      </c>
      <c r="C16" s="2" t="s">
        <v>16</v>
      </c>
      <c r="D16" s="2">
        <v>0</v>
      </c>
      <c r="E16" s="2">
        <v>44</v>
      </c>
      <c r="F16" s="2">
        <v>39</v>
      </c>
      <c r="G16" s="2">
        <v>41</v>
      </c>
      <c r="H16" s="2">
        <v>3</v>
      </c>
      <c r="I16" s="2">
        <v>21</v>
      </c>
      <c r="J16" s="2">
        <v>50</v>
      </c>
      <c r="K16" s="2">
        <v>60</v>
      </c>
      <c r="L16" s="2">
        <v>18</v>
      </c>
      <c r="M16" s="2">
        <v>59</v>
      </c>
      <c r="N16" s="5" t="s">
        <v>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tabSelected="1" zoomScaleNormal="100" workbookViewId="0">
      <selection activeCell="M5" sqref="M5"/>
    </sheetView>
  </sheetViews>
  <sheetFormatPr baseColWidth="10" defaultColWidth="8.6640625" defaultRowHeight="15" x14ac:dyDescent="0.2"/>
  <cols>
    <col min="1" max="1" width="14" customWidth="1"/>
    <col min="2" max="2" width="26" customWidth="1"/>
    <col min="3" max="3" width="10" customWidth="1"/>
    <col min="4" max="4" width="14" customWidth="1"/>
    <col min="5" max="5" width="12" customWidth="1"/>
    <col min="6" max="7" width="13" customWidth="1"/>
    <col min="8" max="8" width="10" customWidth="1"/>
    <col min="9" max="9" width="13" customWidth="1"/>
    <col min="10" max="10" width="7" customWidth="1"/>
    <col min="11" max="12" width="12" customWidth="1"/>
    <col min="13" max="13" width="14" customWidth="1"/>
    <col min="14" max="14" width="30.1640625" customWidth="1"/>
  </cols>
  <sheetData>
    <row r="1" spans="1:14" ht="30" customHeight="1" x14ac:dyDescent="0.2">
      <c r="A1" s="7" t="s">
        <v>0</v>
      </c>
      <c r="B1" s="7" t="s">
        <v>1</v>
      </c>
      <c r="C1" s="7" t="s">
        <v>2</v>
      </c>
      <c r="D1" s="7" t="s">
        <v>46</v>
      </c>
      <c r="E1" s="7" t="s">
        <v>47</v>
      </c>
      <c r="F1" s="7" t="s">
        <v>48</v>
      </c>
      <c r="G1" s="7" t="s">
        <v>49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50</v>
      </c>
    </row>
    <row r="2" spans="1:14" x14ac:dyDescent="0.2">
      <c r="A2" s="2" t="s">
        <v>14</v>
      </c>
      <c r="B2" s="2" t="s">
        <v>15</v>
      </c>
      <c r="C2" s="2" t="s">
        <v>16</v>
      </c>
      <c r="D2" s="2">
        <v>45</v>
      </c>
      <c r="E2" s="2">
        <v>78</v>
      </c>
      <c r="F2" s="2">
        <v>82</v>
      </c>
      <c r="G2" s="2">
        <v>91</v>
      </c>
      <c r="H2" s="2">
        <v>4</v>
      </c>
      <c r="I2" s="2">
        <v>21</v>
      </c>
      <c r="J2" s="2">
        <v>50</v>
      </c>
      <c r="K2" s="2">
        <v>80</v>
      </c>
      <c r="L2" s="2">
        <v>28</v>
      </c>
      <c r="M2" s="2">
        <v>79</v>
      </c>
      <c r="N2" s="24" t="s">
        <v>51</v>
      </c>
    </row>
    <row r="3" spans="1:14" x14ac:dyDescent="0.2">
      <c r="A3" s="2" t="s">
        <v>18</v>
      </c>
      <c r="B3" s="2" t="s">
        <v>19</v>
      </c>
      <c r="C3" s="2" t="s">
        <v>16</v>
      </c>
      <c r="D3" s="2">
        <v>8</v>
      </c>
      <c r="E3" s="2">
        <v>23</v>
      </c>
      <c r="F3" s="2">
        <v>19</v>
      </c>
      <c r="G3" s="2">
        <v>27</v>
      </c>
      <c r="H3" s="2">
        <v>1</v>
      </c>
      <c r="I3" s="2">
        <v>35</v>
      </c>
      <c r="J3" s="2">
        <v>25</v>
      </c>
      <c r="K3" s="2">
        <v>40</v>
      </c>
      <c r="L3" s="2">
        <v>189</v>
      </c>
      <c r="M3" s="2">
        <v>499</v>
      </c>
      <c r="N3" s="24" t="s">
        <v>51</v>
      </c>
    </row>
    <row r="4" spans="1:14" x14ac:dyDescent="0.2">
      <c r="A4" s="2" t="s">
        <v>18</v>
      </c>
      <c r="B4" s="2" t="s">
        <v>19</v>
      </c>
      <c r="C4" s="2" t="s">
        <v>23</v>
      </c>
      <c r="D4" s="2">
        <v>12</v>
      </c>
      <c r="E4" s="2">
        <v>15</v>
      </c>
      <c r="F4" s="2">
        <v>11</v>
      </c>
      <c r="G4" s="2">
        <v>9</v>
      </c>
      <c r="H4" s="2">
        <v>2</v>
      </c>
      <c r="I4" s="2">
        <v>28</v>
      </c>
      <c r="J4" s="2">
        <v>20</v>
      </c>
      <c r="K4" s="2">
        <v>30</v>
      </c>
      <c r="L4" s="2">
        <v>189</v>
      </c>
      <c r="M4" s="2">
        <v>529</v>
      </c>
      <c r="N4" s="8" t="s">
        <v>51</v>
      </c>
    </row>
    <row r="5" spans="1:14" ht="79" customHeight="1" x14ac:dyDescent="0.2">
      <c r="A5" s="2" t="s">
        <v>25</v>
      </c>
      <c r="B5" s="2" t="s">
        <v>26</v>
      </c>
      <c r="C5" s="2" t="s">
        <v>16</v>
      </c>
      <c r="D5" s="2">
        <v>28</v>
      </c>
      <c r="E5" s="2">
        <v>34</v>
      </c>
      <c r="F5" s="2">
        <v>29</v>
      </c>
      <c r="G5" s="2">
        <v>31</v>
      </c>
      <c r="H5" s="2">
        <v>6</v>
      </c>
      <c r="I5" s="2">
        <v>14</v>
      </c>
      <c r="J5" s="2">
        <v>40</v>
      </c>
      <c r="K5" s="2">
        <v>22</v>
      </c>
      <c r="L5" s="2">
        <v>65</v>
      </c>
      <c r="M5" s="26" t="s">
        <v>52</v>
      </c>
      <c r="N5" s="25" t="s">
        <v>53</v>
      </c>
    </row>
    <row r="6" spans="1:14" x14ac:dyDescent="0.2">
      <c r="A6" s="2" t="s">
        <v>25</v>
      </c>
      <c r="B6" s="2" t="s">
        <v>26</v>
      </c>
      <c r="C6" s="2" t="s">
        <v>23</v>
      </c>
      <c r="D6" s="2">
        <v>19</v>
      </c>
      <c r="E6" s="2">
        <v>11</v>
      </c>
      <c r="F6" s="2">
        <v>8</v>
      </c>
      <c r="G6" s="2">
        <v>14</v>
      </c>
      <c r="H6" s="2">
        <v>2</v>
      </c>
      <c r="I6" s="2">
        <v>14</v>
      </c>
      <c r="J6" s="2">
        <v>40</v>
      </c>
      <c r="K6" s="2">
        <v>30</v>
      </c>
      <c r="L6" s="2">
        <v>22</v>
      </c>
      <c r="M6" s="2">
        <v>72</v>
      </c>
      <c r="N6" s="8" t="s">
        <v>51</v>
      </c>
    </row>
    <row r="7" spans="1:14" x14ac:dyDescent="0.2">
      <c r="A7" s="2" t="s">
        <v>28</v>
      </c>
      <c r="B7" s="2" t="s">
        <v>29</v>
      </c>
      <c r="C7" s="2" t="s">
        <v>16</v>
      </c>
      <c r="D7" s="2">
        <v>220</v>
      </c>
      <c r="E7" s="2">
        <v>12</v>
      </c>
      <c r="F7" s="2">
        <v>9</v>
      </c>
      <c r="G7" s="2">
        <v>8</v>
      </c>
      <c r="H7" s="2">
        <v>0</v>
      </c>
      <c r="I7" s="2">
        <v>45</v>
      </c>
      <c r="J7" s="2">
        <v>100</v>
      </c>
      <c r="K7" s="2">
        <v>40</v>
      </c>
      <c r="L7" s="2">
        <v>67</v>
      </c>
      <c r="M7" s="2">
        <v>189</v>
      </c>
      <c r="N7" s="9" t="s">
        <v>54</v>
      </c>
    </row>
    <row r="8" spans="1:14" x14ac:dyDescent="0.2">
      <c r="A8" s="2" t="s">
        <v>28</v>
      </c>
      <c r="B8" s="2" t="s">
        <v>29</v>
      </c>
      <c r="C8" s="2" t="s">
        <v>23</v>
      </c>
      <c r="D8" s="2">
        <v>310</v>
      </c>
      <c r="E8" s="2">
        <v>6</v>
      </c>
      <c r="F8" s="2">
        <v>4</v>
      </c>
      <c r="G8" s="2">
        <v>5</v>
      </c>
      <c r="H8" s="2">
        <v>0</v>
      </c>
      <c r="I8" s="2">
        <v>45</v>
      </c>
      <c r="J8" s="2">
        <v>100</v>
      </c>
      <c r="K8" s="2">
        <v>30</v>
      </c>
      <c r="L8" s="2">
        <v>67</v>
      </c>
      <c r="M8" s="2">
        <v>209</v>
      </c>
      <c r="N8" s="9" t="s">
        <v>54</v>
      </c>
    </row>
    <row r="9" spans="1:14" x14ac:dyDescent="0.2">
      <c r="A9" s="2" t="s">
        <v>31</v>
      </c>
      <c r="B9" s="2" t="s">
        <v>32</v>
      </c>
      <c r="C9" s="2" t="s">
        <v>16</v>
      </c>
      <c r="D9" s="2">
        <v>3</v>
      </c>
      <c r="E9" s="2">
        <v>67</v>
      </c>
      <c r="F9" s="2">
        <v>58</v>
      </c>
      <c r="G9" s="2">
        <v>12</v>
      </c>
      <c r="H9" s="2">
        <v>3</v>
      </c>
      <c r="I9" s="2">
        <v>28</v>
      </c>
      <c r="J9" s="2">
        <v>50</v>
      </c>
      <c r="K9" s="2">
        <v>70</v>
      </c>
      <c r="L9" s="2">
        <v>44</v>
      </c>
      <c r="M9" s="2">
        <v>139</v>
      </c>
      <c r="N9" s="10" t="s">
        <v>55</v>
      </c>
    </row>
    <row r="10" spans="1:14" x14ac:dyDescent="0.2">
      <c r="A10" s="2" t="s">
        <v>31</v>
      </c>
      <c r="B10" s="2" t="s">
        <v>32</v>
      </c>
      <c r="C10" s="2" t="s">
        <v>23</v>
      </c>
      <c r="D10" s="2">
        <v>2</v>
      </c>
      <c r="E10" s="2">
        <v>41</v>
      </c>
      <c r="F10" s="2">
        <v>9</v>
      </c>
      <c r="G10" s="2">
        <v>7</v>
      </c>
      <c r="H10" s="2">
        <v>1</v>
      </c>
      <c r="I10" s="2">
        <v>28</v>
      </c>
      <c r="J10" s="2">
        <v>50</v>
      </c>
      <c r="K10" s="2">
        <v>50</v>
      </c>
      <c r="L10" s="2">
        <v>44</v>
      </c>
      <c r="M10" s="2">
        <v>159</v>
      </c>
      <c r="N10" s="10" t="s">
        <v>55</v>
      </c>
    </row>
    <row r="11" spans="1:14" x14ac:dyDescent="0.2">
      <c r="A11" s="3" t="s">
        <v>34</v>
      </c>
      <c r="B11" s="3" t="s">
        <v>35</v>
      </c>
      <c r="C11" s="3" t="s">
        <v>16</v>
      </c>
      <c r="D11" s="3">
        <v>-7</v>
      </c>
      <c r="E11" s="3">
        <v>55</v>
      </c>
      <c r="F11" s="3">
        <v>48</v>
      </c>
      <c r="G11" s="3">
        <v>51</v>
      </c>
      <c r="H11" s="3">
        <v>18</v>
      </c>
      <c r="I11" s="3">
        <v>21</v>
      </c>
      <c r="J11" s="3">
        <v>50</v>
      </c>
      <c r="K11" s="3">
        <v>80</v>
      </c>
      <c r="L11" s="3">
        <v>35</v>
      </c>
      <c r="M11" s="3">
        <v>119</v>
      </c>
      <c r="N11" s="11" t="s">
        <v>56</v>
      </c>
    </row>
    <row r="12" spans="1:14" x14ac:dyDescent="0.2">
      <c r="A12" s="2" t="s">
        <v>37</v>
      </c>
      <c r="B12" s="2" t="s">
        <v>38</v>
      </c>
      <c r="C12" s="2" t="s">
        <v>16</v>
      </c>
      <c r="D12" s="2">
        <v>91</v>
      </c>
      <c r="E12" s="2">
        <v>3</v>
      </c>
      <c r="F12" s="2">
        <v>2</v>
      </c>
      <c r="G12" s="2">
        <v>1</v>
      </c>
      <c r="H12" s="2">
        <v>0</v>
      </c>
      <c r="I12" s="2">
        <v>60</v>
      </c>
      <c r="J12" s="2">
        <v>25</v>
      </c>
      <c r="K12" s="2">
        <v>10</v>
      </c>
      <c r="L12" s="2">
        <v>210</v>
      </c>
      <c r="M12" s="2">
        <v>599</v>
      </c>
      <c r="N12" s="12" t="s">
        <v>57</v>
      </c>
    </row>
    <row r="13" spans="1:14" x14ac:dyDescent="0.2">
      <c r="A13" s="6" t="s">
        <v>37</v>
      </c>
      <c r="B13" s="6" t="s">
        <v>38</v>
      </c>
      <c r="C13" s="6" t="s">
        <v>23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60</v>
      </c>
      <c r="J13" s="6">
        <v>25</v>
      </c>
      <c r="K13" s="6">
        <v>0</v>
      </c>
      <c r="L13" s="6">
        <v>210</v>
      </c>
      <c r="M13" s="6">
        <v>649</v>
      </c>
      <c r="N13" s="13" t="s">
        <v>58</v>
      </c>
    </row>
    <row r="14" spans="1:14" x14ac:dyDescent="0.2">
      <c r="A14" s="2" t="s">
        <v>40</v>
      </c>
      <c r="B14" s="2" t="s">
        <v>41</v>
      </c>
      <c r="C14" s="2" t="s">
        <v>16</v>
      </c>
      <c r="D14" s="2">
        <v>156</v>
      </c>
      <c r="E14" s="2">
        <v>188</v>
      </c>
      <c r="F14" s="2">
        <v>201</v>
      </c>
      <c r="G14" s="2">
        <v>177</v>
      </c>
      <c r="H14" s="2">
        <v>22</v>
      </c>
      <c r="I14" s="2">
        <v>7</v>
      </c>
      <c r="J14" s="2">
        <v>100</v>
      </c>
      <c r="K14" s="2">
        <v>250</v>
      </c>
      <c r="L14" s="2">
        <v>8</v>
      </c>
      <c r="M14" s="2">
        <v>34</v>
      </c>
      <c r="N14" s="8" t="s">
        <v>51</v>
      </c>
    </row>
    <row r="15" spans="1:14" x14ac:dyDescent="0.2">
      <c r="A15" s="3" t="s">
        <v>43</v>
      </c>
      <c r="B15" s="3" t="s">
        <v>44</v>
      </c>
      <c r="C15" s="3" t="s">
        <v>16</v>
      </c>
      <c r="D15" s="3">
        <v>0</v>
      </c>
      <c r="E15" s="3">
        <v>44</v>
      </c>
      <c r="F15" s="3">
        <v>39</v>
      </c>
      <c r="G15" s="3">
        <v>41</v>
      </c>
      <c r="H15" s="3">
        <v>3</v>
      </c>
      <c r="I15" s="3">
        <v>21</v>
      </c>
      <c r="J15" s="3">
        <v>50</v>
      </c>
      <c r="K15" s="3">
        <v>60</v>
      </c>
      <c r="L15" s="3">
        <v>18</v>
      </c>
      <c r="M15" s="3">
        <v>59</v>
      </c>
      <c r="N15" s="11" t="s">
        <v>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"/>
  <sheetViews>
    <sheetView topLeftCell="B1" zoomScaleNormal="100" workbookViewId="0">
      <selection activeCell="N7" sqref="N7"/>
    </sheetView>
  </sheetViews>
  <sheetFormatPr baseColWidth="10" defaultColWidth="8.6640625" defaultRowHeight="15" x14ac:dyDescent="0.2"/>
  <cols>
    <col min="1" max="1" width="14" style="28" customWidth="1"/>
    <col min="2" max="2" width="26" style="28" customWidth="1"/>
    <col min="3" max="3" width="10" style="28" customWidth="1"/>
    <col min="4" max="4" width="12" style="28" customWidth="1"/>
    <col min="5" max="5" width="13" style="28" customWidth="1"/>
    <col min="6" max="6" width="11" style="28" customWidth="1"/>
    <col min="7" max="7" width="15" style="28" customWidth="1"/>
    <col min="8" max="8" width="13" style="28" customWidth="1"/>
    <col min="9" max="9" width="16" style="28" customWidth="1"/>
    <col min="10" max="10" width="14" style="28" customWidth="1"/>
    <col min="11" max="11" width="18" style="28" customWidth="1"/>
    <col min="12" max="12" width="16" style="28" customWidth="1"/>
    <col min="13" max="13" width="14" style="28" customWidth="1"/>
    <col min="14" max="14" width="55" style="61" customWidth="1"/>
    <col min="15" max="16384" width="8.6640625" style="28"/>
  </cols>
  <sheetData>
    <row r="1" spans="1:14" ht="39.75" customHeight="1" x14ac:dyDescent="0.2">
      <c r="A1" s="27" t="s">
        <v>0</v>
      </c>
      <c r="B1" s="27" t="s">
        <v>1</v>
      </c>
      <c r="C1" s="27" t="s">
        <v>2</v>
      </c>
      <c r="D1" s="27" t="s">
        <v>3</v>
      </c>
      <c r="E1" s="27" t="s">
        <v>60</v>
      </c>
      <c r="F1" s="27" t="s">
        <v>7</v>
      </c>
      <c r="G1" s="27" t="s">
        <v>61</v>
      </c>
      <c r="H1" s="27" t="s">
        <v>62</v>
      </c>
      <c r="I1" s="27" t="s">
        <v>63</v>
      </c>
      <c r="J1" s="27" t="s">
        <v>64</v>
      </c>
      <c r="K1" s="27" t="s">
        <v>65</v>
      </c>
      <c r="L1" s="27" t="s">
        <v>66</v>
      </c>
      <c r="M1" s="27" t="s">
        <v>67</v>
      </c>
      <c r="N1" s="60" t="s">
        <v>13</v>
      </c>
    </row>
    <row r="2" spans="1:14" ht="30" x14ac:dyDescent="0.2">
      <c r="A2" s="14" t="s">
        <v>31</v>
      </c>
      <c r="B2" s="14" t="s">
        <v>32</v>
      </c>
      <c r="C2" s="14" t="s">
        <v>16</v>
      </c>
      <c r="D2" s="29">
        <f>Cleaned_Data!D9</f>
        <v>3</v>
      </c>
      <c r="E2" s="29">
        <f>Cleaned_Data!E9</f>
        <v>67</v>
      </c>
      <c r="F2" s="29">
        <f>Cleaned_Data!H9</f>
        <v>3</v>
      </c>
      <c r="G2" s="30">
        <f t="shared" ref="G2:G12" si="0">ROUND(F2/3,2)</f>
        <v>1</v>
      </c>
      <c r="H2" s="30">
        <f t="shared" ref="H2:H12" si="1">ROUND(E2-G2,2)</f>
        <v>66</v>
      </c>
      <c r="I2" s="31">
        <f t="shared" ref="I2:I12" si="2">ROUND(H2/30,3)</f>
        <v>2.2000000000000002</v>
      </c>
      <c r="J2" s="32">
        <v>1.4</v>
      </c>
      <c r="K2" s="31">
        <f t="shared" ref="K2:K12" si="3">ROUND(I2*J2,3)</f>
        <v>3.08</v>
      </c>
      <c r="L2" s="33">
        <f t="shared" ref="L2:L12" si="4">IF(K2&gt;0,ROUND(D2/K2,1),"N/A")</f>
        <v>1</v>
      </c>
      <c r="M2" s="34" t="str">
        <f t="shared" ref="M2:M12" si="5">IF(ISNUMBER(L2),IF(L2&lt;7,"🔴 CRITICAL",IF(L2&lt;=20,"🟠 AT RISK",IF(L2&lt;=60,"🟢 HEALTHY","🔵 OVERSTOCK"))),"⚫ EXCLUDED")</f>
        <v>🔴 CRITICAL</v>
      </c>
      <c r="N2" s="63" t="s">
        <v>105</v>
      </c>
    </row>
    <row r="3" spans="1:14" x14ac:dyDescent="0.2">
      <c r="A3" s="14" t="s">
        <v>31</v>
      </c>
      <c r="B3" s="14" t="s">
        <v>32</v>
      </c>
      <c r="C3" s="14" t="s">
        <v>23</v>
      </c>
      <c r="D3" s="29">
        <f>Cleaned_Data!D10</f>
        <v>2</v>
      </c>
      <c r="E3" s="29">
        <f>Cleaned_Data!E10</f>
        <v>41</v>
      </c>
      <c r="F3" s="29">
        <f>Cleaned_Data!H10</f>
        <v>1</v>
      </c>
      <c r="G3" s="30">
        <f t="shared" si="0"/>
        <v>0.33</v>
      </c>
      <c r="H3" s="30">
        <f t="shared" si="1"/>
        <v>40.67</v>
      </c>
      <c r="I3" s="31">
        <f t="shared" si="2"/>
        <v>1.3560000000000001</v>
      </c>
      <c r="J3" s="32">
        <v>1.4</v>
      </c>
      <c r="K3" s="31">
        <f t="shared" si="3"/>
        <v>1.8979999999999999</v>
      </c>
      <c r="L3" s="33">
        <f t="shared" si="4"/>
        <v>1.1000000000000001</v>
      </c>
      <c r="M3" s="34" t="str">
        <f t="shared" si="5"/>
        <v>🔴 CRITICAL</v>
      </c>
      <c r="N3" s="63" t="s">
        <v>68</v>
      </c>
    </row>
    <row r="4" spans="1:14" x14ac:dyDescent="0.2">
      <c r="A4" s="14" t="s">
        <v>18</v>
      </c>
      <c r="B4" s="14" t="s">
        <v>19</v>
      </c>
      <c r="C4" s="14" t="s">
        <v>16</v>
      </c>
      <c r="D4" s="29">
        <f>Cleaned_Data!D3</f>
        <v>8</v>
      </c>
      <c r="E4" s="29">
        <f>Cleaned_Data!E3</f>
        <v>23</v>
      </c>
      <c r="F4" s="29">
        <f>Cleaned_Data!H3</f>
        <v>1</v>
      </c>
      <c r="G4" s="30">
        <f t="shared" si="0"/>
        <v>0.33</v>
      </c>
      <c r="H4" s="30">
        <f t="shared" si="1"/>
        <v>22.67</v>
      </c>
      <c r="I4" s="31">
        <f t="shared" si="2"/>
        <v>0.75600000000000001</v>
      </c>
      <c r="J4" s="32">
        <v>1.4</v>
      </c>
      <c r="K4" s="31">
        <f t="shared" si="3"/>
        <v>1.0580000000000001</v>
      </c>
      <c r="L4" s="33">
        <f t="shared" si="4"/>
        <v>7.6</v>
      </c>
      <c r="M4" s="35" t="str">
        <f t="shared" si="5"/>
        <v>🟠 AT RISK</v>
      </c>
      <c r="N4" s="63" t="s">
        <v>69</v>
      </c>
    </row>
    <row r="5" spans="1:14" x14ac:dyDescent="0.2">
      <c r="A5" s="14" t="s">
        <v>18</v>
      </c>
      <c r="B5" s="14" t="s">
        <v>19</v>
      </c>
      <c r="C5" s="14" t="s">
        <v>23</v>
      </c>
      <c r="D5" s="29">
        <f>Cleaned_Data!D4</f>
        <v>12</v>
      </c>
      <c r="E5" s="29">
        <f>Cleaned_Data!E4</f>
        <v>15</v>
      </c>
      <c r="F5" s="29">
        <f>Cleaned_Data!H4</f>
        <v>2</v>
      </c>
      <c r="G5" s="30">
        <f t="shared" si="0"/>
        <v>0.67</v>
      </c>
      <c r="H5" s="30">
        <f t="shared" si="1"/>
        <v>14.33</v>
      </c>
      <c r="I5" s="31">
        <f t="shared" si="2"/>
        <v>0.47799999999999998</v>
      </c>
      <c r="J5" s="32">
        <v>1.4</v>
      </c>
      <c r="K5" s="31">
        <f t="shared" si="3"/>
        <v>0.66900000000000004</v>
      </c>
      <c r="L5" s="33">
        <f t="shared" si="4"/>
        <v>17.899999999999999</v>
      </c>
      <c r="M5" s="34" t="str">
        <f t="shared" si="5"/>
        <v>🟠 AT RISK</v>
      </c>
      <c r="N5" s="63"/>
    </row>
    <row r="6" spans="1:14" x14ac:dyDescent="0.2">
      <c r="A6" s="14" t="s">
        <v>14</v>
      </c>
      <c r="B6" s="14" t="s">
        <v>15</v>
      </c>
      <c r="C6" s="14" t="s">
        <v>16</v>
      </c>
      <c r="D6" s="29">
        <f>Cleaned_Data!D2</f>
        <v>45</v>
      </c>
      <c r="E6" s="29">
        <f>Cleaned_Data!E2</f>
        <v>78</v>
      </c>
      <c r="F6" s="29">
        <f>Cleaned_Data!H2</f>
        <v>4</v>
      </c>
      <c r="G6" s="30">
        <f t="shared" si="0"/>
        <v>1.33</v>
      </c>
      <c r="H6" s="30">
        <f t="shared" si="1"/>
        <v>76.67</v>
      </c>
      <c r="I6" s="31">
        <f t="shared" si="2"/>
        <v>2.556</v>
      </c>
      <c r="J6" s="32">
        <v>1.4</v>
      </c>
      <c r="K6" s="31">
        <f t="shared" si="3"/>
        <v>3.5779999999999998</v>
      </c>
      <c r="L6" s="33">
        <f t="shared" si="4"/>
        <v>12.6</v>
      </c>
      <c r="M6" s="36" t="str">
        <f t="shared" si="5"/>
        <v>🟠 AT RISK</v>
      </c>
      <c r="N6" s="63"/>
    </row>
    <row r="7" spans="1:14" x14ac:dyDescent="0.2">
      <c r="A7" s="14" t="s">
        <v>25</v>
      </c>
      <c r="B7" s="14" t="s">
        <v>26</v>
      </c>
      <c r="C7" s="14" t="s">
        <v>16</v>
      </c>
      <c r="D7" s="29">
        <f>Cleaned_Data!D5</f>
        <v>28</v>
      </c>
      <c r="E7" s="29">
        <f>Cleaned_Data!E5</f>
        <v>34</v>
      </c>
      <c r="F7" s="29">
        <f>Cleaned_Data!H5</f>
        <v>6</v>
      </c>
      <c r="G7" s="30">
        <f t="shared" si="0"/>
        <v>2</v>
      </c>
      <c r="H7" s="30">
        <f t="shared" si="1"/>
        <v>32</v>
      </c>
      <c r="I7" s="31">
        <f t="shared" si="2"/>
        <v>1.0669999999999999</v>
      </c>
      <c r="J7" s="32">
        <v>1.4</v>
      </c>
      <c r="K7" s="31">
        <f t="shared" si="3"/>
        <v>1.494</v>
      </c>
      <c r="L7" s="33">
        <f t="shared" si="4"/>
        <v>18.7</v>
      </c>
      <c r="M7" s="35" t="str">
        <f t="shared" si="5"/>
        <v>🟠 AT RISK</v>
      </c>
      <c r="N7" s="63" t="s">
        <v>70</v>
      </c>
    </row>
    <row r="8" spans="1:14" x14ac:dyDescent="0.2">
      <c r="A8" s="14" t="s">
        <v>25</v>
      </c>
      <c r="B8" s="14" t="s">
        <v>26</v>
      </c>
      <c r="C8" s="14" t="s">
        <v>23</v>
      </c>
      <c r="D8" s="29">
        <f>Cleaned_Data!D6</f>
        <v>19</v>
      </c>
      <c r="E8" s="29">
        <f>Cleaned_Data!E6</f>
        <v>11</v>
      </c>
      <c r="F8" s="29">
        <f>Cleaned_Data!H6</f>
        <v>2</v>
      </c>
      <c r="G8" s="30">
        <f t="shared" si="0"/>
        <v>0.67</v>
      </c>
      <c r="H8" s="30">
        <f t="shared" si="1"/>
        <v>10.33</v>
      </c>
      <c r="I8" s="31">
        <f t="shared" si="2"/>
        <v>0.34399999999999997</v>
      </c>
      <c r="J8" s="32">
        <v>1.4</v>
      </c>
      <c r="K8" s="31">
        <f t="shared" si="3"/>
        <v>0.48199999999999998</v>
      </c>
      <c r="L8" s="33">
        <f t="shared" si="4"/>
        <v>39.4</v>
      </c>
      <c r="M8" s="36" t="str">
        <f t="shared" si="5"/>
        <v>🟢 HEALTHY</v>
      </c>
      <c r="N8" s="63"/>
    </row>
    <row r="9" spans="1:14" x14ac:dyDescent="0.2">
      <c r="A9" s="14" t="s">
        <v>40</v>
      </c>
      <c r="B9" s="14" t="s">
        <v>41</v>
      </c>
      <c r="C9" s="14" t="s">
        <v>16</v>
      </c>
      <c r="D9" s="29">
        <f>Cleaned_Data!D14</f>
        <v>156</v>
      </c>
      <c r="E9" s="29">
        <f>Cleaned_Data!E14</f>
        <v>188</v>
      </c>
      <c r="F9" s="29">
        <f>Cleaned_Data!H14</f>
        <v>22</v>
      </c>
      <c r="G9" s="30">
        <f t="shared" si="0"/>
        <v>7.33</v>
      </c>
      <c r="H9" s="30">
        <f t="shared" si="1"/>
        <v>180.67</v>
      </c>
      <c r="I9" s="31">
        <f t="shared" si="2"/>
        <v>6.0220000000000002</v>
      </c>
      <c r="J9" s="32">
        <v>1.4</v>
      </c>
      <c r="K9" s="31">
        <f t="shared" si="3"/>
        <v>8.4309999999999992</v>
      </c>
      <c r="L9" s="33">
        <f t="shared" si="4"/>
        <v>18.5</v>
      </c>
      <c r="M9" s="35" t="str">
        <f t="shared" si="5"/>
        <v>🟠 AT RISK</v>
      </c>
      <c r="N9" s="63" t="s">
        <v>71</v>
      </c>
    </row>
    <row r="10" spans="1:14" x14ac:dyDescent="0.2">
      <c r="A10" s="14" t="s">
        <v>43</v>
      </c>
      <c r="B10" s="14" t="s">
        <v>44</v>
      </c>
      <c r="C10" s="14" t="s">
        <v>16</v>
      </c>
      <c r="D10" s="29">
        <f>Cleaned_Data!D15</f>
        <v>0</v>
      </c>
      <c r="E10" s="29">
        <f>Cleaned_Data!E15</f>
        <v>44</v>
      </c>
      <c r="F10" s="29">
        <f>Cleaned_Data!H15</f>
        <v>3</v>
      </c>
      <c r="G10" s="30">
        <f t="shared" si="0"/>
        <v>1</v>
      </c>
      <c r="H10" s="30">
        <f t="shared" si="1"/>
        <v>43</v>
      </c>
      <c r="I10" s="31">
        <f t="shared" si="2"/>
        <v>1.4330000000000001</v>
      </c>
      <c r="J10" s="32">
        <v>1.4</v>
      </c>
      <c r="K10" s="31">
        <f t="shared" si="3"/>
        <v>2.0059999999999998</v>
      </c>
      <c r="L10" s="33">
        <f t="shared" si="4"/>
        <v>0</v>
      </c>
      <c r="M10" s="34" t="str">
        <f t="shared" si="5"/>
        <v>🔴 CRITICAL</v>
      </c>
      <c r="N10" s="63" t="s">
        <v>72</v>
      </c>
    </row>
    <row r="11" spans="1:14" x14ac:dyDescent="0.2">
      <c r="A11" s="14" t="s">
        <v>28</v>
      </c>
      <c r="B11" s="14" t="s">
        <v>29</v>
      </c>
      <c r="C11" s="14" t="s">
        <v>16</v>
      </c>
      <c r="D11" s="29">
        <f>Cleaned_Data!D7</f>
        <v>220</v>
      </c>
      <c r="E11" s="29">
        <f>Cleaned_Data!E7</f>
        <v>12</v>
      </c>
      <c r="F11" s="29">
        <f>Cleaned_Data!H7</f>
        <v>0</v>
      </c>
      <c r="G11" s="30">
        <f t="shared" si="0"/>
        <v>0</v>
      </c>
      <c r="H11" s="30">
        <f t="shared" si="1"/>
        <v>12</v>
      </c>
      <c r="I11" s="31">
        <f t="shared" si="2"/>
        <v>0.4</v>
      </c>
      <c r="J11" s="32">
        <v>1.4</v>
      </c>
      <c r="K11" s="31">
        <f t="shared" si="3"/>
        <v>0.56000000000000005</v>
      </c>
      <c r="L11" s="33">
        <f t="shared" si="4"/>
        <v>392.9</v>
      </c>
      <c r="M11" s="37" t="str">
        <f t="shared" si="5"/>
        <v>🔵 OVERSTOCK</v>
      </c>
      <c r="N11" s="63" t="s">
        <v>73</v>
      </c>
    </row>
    <row r="12" spans="1:14" x14ac:dyDescent="0.2">
      <c r="A12" s="14" t="s">
        <v>28</v>
      </c>
      <c r="B12" s="14" t="s">
        <v>29</v>
      </c>
      <c r="C12" s="14" t="s">
        <v>23</v>
      </c>
      <c r="D12" s="29">
        <f>Cleaned_Data!D8</f>
        <v>310</v>
      </c>
      <c r="E12" s="29">
        <f>Cleaned_Data!E8</f>
        <v>6</v>
      </c>
      <c r="F12" s="29">
        <f>Cleaned_Data!H8</f>
        <v>0</v>
      </c>
      <c r="G12" s="30">
        <f t="shared" si="0"/>
        <v>0</v>
      </c>
      <c r="H12" s="30">
        <f t="shared" si="1"/>
        <v>6</v>
      </c>
      <c r="I12" s="31">
        <f t="shared" si="2"/>
        <v>0.2</v>
      </c>
      <c r="J12" s="32">
        <v>1.4</v>
      </c>
      <c r="K12" s="31">
        <f t="shared" si="3"/>
        <v>0.28000000000000003</v>
      </c>
      <c r="L12" s="33">
        <f t="shared" si="4"/>
        <v>1107.0999999999999</v>
      </c>
      <c r="M12" s="37" t="str">
        <f t="shared" si="5"/>
        <v>🔵 OVERSTOCK</v>
      </c>
      <c r="N12" s="63" t="s">
        <v>74</v>
      </c>
    </row>
    <row r="13" spans="1:14" ht="30" x14ac:dyDescent="0.2">
      <c r="A13" s="16" t="s">
        <v>34</v>
      </c>
      <c r="B13" s="16" t="s">
        <v>35</v>
      </c>
      <c r="C13" s="16" t="s">
        <v>16</v>
      </c>
      <c r="D13" s="38"/>
      <c r="E13" s="38"/>
      <c r="F13" s="38"/>
      <c r="G13" s="38"/>
      <c r="H13" s="38"/>
      <c r="I13" s="38"/>
      <c r="J13" s="38"/>
      <c r="K13" s="38"/>
      <c r="L13" s="38"/>
      <c r="M13" s="17" t="s">
        <v>75</v>
      </c>
      <c r="N13" s="62" t="s">
        <v>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3"/>
  <sheetViews>
    <sheetView topLeftCell="A8" zoomScaleNormal="100" workbookViewId="0">
      <selection activeCell="O8" sqref="O8"/>
    </sheetView>
  </sheetViews>
  <sheetFormatPr baseColWidth="10" defaultColWidth="8.6640625" defaultRowHeight="15" x14ac:dyDescent="0.2"/>
  <cols>
    <col min="1" max="1" width="14" style="39" customWidth="1"/>
    <col min="2" max="2" width="10" style="39" customWidth="1"/>
    <col min="3" max="3" width="13" style="39" customWidth="1"/>
    <col min="4" max="5" width="14" style="39" customWidth="1"/>
    <col min="6" max="6" width="7" style="39" customWidth="1"/>
    <col min="7" max="7" width="12" style="39" customWidth="1"/>
    <col min="8" max="8" width="14" style="39" customWidth="1"/>
    <col min="9" max="9" width="13" style="39" customWidth="1"/>
    <col min="10" max="10" width="16" style="39" customWidth="1"/>
    <col min="11" max="11" width="12" style="39" customWidth="1"/>
    <col min="12" max="12" width="8.6640625" style="39"/>
    <col min="13" max="13" width="12.33203125" style="39" bestFit="1" customWidth="1"/>
    <col min="14" max="14" width="6.6640625" style="39" bestFit="1" customWidth="1"/>
    <col min="15" max="15" width="23.83203125" style="39" bestFit="1" customWidth="1"/>
    <col min="16" max="16384" width="8.6640625" style="39"/>
  </cols>
  <sheetData>
    <row r="1" spans="1:15" ht="30" customHeight="1" x14ac:dyDescent="0.2">
      <c r="A1" s="7" t="s">
        <v>0</v>
      </c>
      <c r="B1" s="7" t="s">
        <v>2</v>
      </c>
      <c r="C1" s="7" t="s">
        <v>77</v>
      </c>
      <c r="D1" s="7" t="s">
        <v>67</v>
      </c>
      <c r="E1" s="7" t="s">
        <v>78</v>
      </c>
      <c r="F1" s="7" t="s">
        <v>9</v>
      </c>
      <c r="G1" s="7" t="s">
        <v>11</v>
      </c>
      <c r="H1" s="7" t="s">
        <v>79</v>
      </c>
      <c r="I1" s="7" t="s">
        <v>8</v>
      </c>
      <c r="J1" s="7" t="s">
        <v>80</v>
      </c>
      <c r="K1" s="7" t="s">
        <v>81</v>
      </c>
      <c r="M1" s="59" t="s">
        <v>82</v>
      </c>
      <c r="N1" s="59"/>
      <c r="O1" s="59"/>
    </row>
    <row r="2" spans="1:15" ht="49.5" customHeight="1" x14ac:dyDescent="0.2">
      <c r="A2" s="14" t="s">
        <v>40</v>
      </c>
      <c r="B2" s="14" t="s">
        <v>16</v>
      </c>
      <c r="C2" s="18">
        <f>RoS_Forecast!L9</f>
        <v>18.5</v>
      </c>
      <c r="D2" s="19" t="str">
        <f>RoS_Forecast!M9</f>
        <v>🟠 AT RISK</v>
      </c>
      <c r="E2" s="20">
        <v>500</v>
      </c>
      <c r="F2" s="21">
        <v>100</v>
      </c>
      <c r="G2" s="40">
        <v>8</v>
      </c>
      <c r="H2" s="41">
        <f t="shared" ref="H2:H8" si="0">E2*G2</f>
        <v>4000</v>
      </c>
      <c r="I2" s="21">
        <v>7</v>
      </c>
      <c r="J2" s="42" t="str">
        <f>IF(I2&lt;=$N$5,"✅ YES","❌ NO (late)")</f>
        <v>✅ YES</v>
      </c>
      <c r="K2" s="52">
        <v>1</v>
      </c>
      <c r="M2" s="43" t="s">
        <v>83</v>
      </c>
      <c r="N2" s="44">
        <v>15000</v>
      </c>
      <c r="O2" s="45" t="s">
        <v>84</v>
      </c>
    </row>
    <row r="3" spans="1:15" ht="49.5" customHeight="1" x14ac:dyDescent="0.2">
      <c r="A3" s="14" t="s">
        <v>25</v>
      </c>
      <c r="B3" s="14" t="s">
        <v>16</v>
      </c>
      <c r="C3" s="18">
        <f>RoS_Forecast!L7</f>
        <v>18.7</v>
      </c>
      <c r="D3" s="19" t="str">
        <f>RoS_Forecast!M7</f>
        <v>🟠 AT RISK</v>
      </c>
      <c r="E3" s="20">
        <v>40</v>
      </c>
      <c r="F3" s="21">
        <v>40</v>
      </c>
      <c r="G3" s="40">
        <v>22</v>
      </c>
      <c r="H3" s="41">
        <f t="shared" si="0"/>
        <v>880</v>
      </c>
      <c r="I3" s="21">
        <v>14</v>
      </c>
      <c r="J3" s="42" t="str">
        <f>IF(I3&lt;=$N$5,"✅ YES","❌ NO (late)")</f>
        <v>✅ YES</v>
      </c>
      <c r="K3" s="53">
        <v>2</v>
      </c>
      <c r="M3" s="43" t="s">
        <v>85</v>
      </c>
      <c r="N3" s="44">
        <v>4000</v>
      </c>
      <c r="O3" s="45" t="s">
        <v>86</v>
      </c>
    </row>
    <row r="4" spans="1:15" ht="49.5" customHeight="1" x14ac:dyDescent="0.2">
      <c r="A4" s="14" t="s">
        <v>31</v>
      </c>
      <c r="B4" s="14" t="s">
        <v>16</v>
      </c>
      <c r="C4" s="18">
        <f>RoS_Forecast!L2</f>
        <v>1</v>
      </c>
      <c r="D4" s="19" t="str">
        <f>RoS_Forecast!M2</f>
        <v>🔴 CRITICAL</v>
      </c>
      <c r="E4" s="20">
        <v>100</v>
      </c>
      <c r="F4" s="21">
        <v>50</v>
      </c>
      <c r="G4" s="40">
        <v>44</v>
      </c>
      <c r="H4" s="41">
        <f t="shared" si="0"/>
        <v>4400</v>
      </c>
      <c r="I4" s="21">
        <v>28</v>
      </c>
      <c r="J4" s="15" t="str">
        <f>IF(I4&lt;=$N$5,"✅ YES","❌ NO (late)")</f>
        <v>❌ NO (late)</v>
      </c>
      <c r="K4" s="52">
        <v>1</v>
      </c>
      <c r="M4" s="43" t="s">
        <v>87</v>
      </c>
      <c r="N4" s="46">
        <v>450</v>
      </c>
      <c r="O4" s="45" t="s">
        <v>88</v>
      </c>
    </row>
    <row r="5" spans="1:15" ht="49.5" customHeight="1" x14ac:dyDescent="0.2">
      <c r="A5" s="14" t="s">
        <v>14</v>
      </c>
      <c r="B5" s="14" t="s">
        <v>16</v>
      </c>
      <c r="C5" s="18">
        <f>RoS_Forecast!L6</f>
        <v>12.6</v>
      </c>
      <c r="D5" s="19" t="str">
        <f>RoS_Forecast!M6</f>
        <v>🟠 AT RISK</v>
      </c>
      <c r="E5" s="20">
        <v>50</v>
      </c>
      <c r="F5" s="21">
        <v>50</v>
      </c>
      <c r="G5" s="40">
        <v>28</v>
      </c>
      <c r="H5" s="41">
        <f t="shared" si="0"/>
        <v>1400</v>
      </c>
      <c r="I5" s="21">
        <v>21</v>
      </c>
      <c r="J5" s="15" t="str">
        <f>IF(I5&lt;=$N$5,"✅ YES","❌ NO (late)")</f>
        <v>❌ NO (late)</v>
      </c>
      <c r="K5" s="54">
        <v>3</v>
      </c>
      <c r="M5" s="43" t="s">
        <v>89</v>
      </c>
      <c r="N5" s="46">
        <v>15</v>
      </c>
      <c r="O5" s="45" t="s">
        <v>90</v>
      </c>
    </row>
    <row r="6" spans="1:15" ht="49.5" customHeight="1" x14ac:dyDescent="0.2">
      <c r="A6" s="14" t="s">
        <v>43</v>
      </c>
      <c r="B6" s="14" t="s">
        <v>16</v>
      </c>
      <c r="C6" s="18">
        <f>RoS_Forecast!L10</f>
        <v>0</v>
      </c>
      <c r="D6" s="19" t="str">
        <f>RoS_Forecast!M10</f>
        <v>🔴 CRITICAL</v>
      </c>
      <c r="E6" s="20">
        <v>50</v>
      </c>
      <c r="F6" s="21">
        <v>50</v>
      </c>
      <c r="G6" s="40">
        <v>18</v>
      </c>
      <c r="H6" s="41">
        <f t="shared" si="0"/>
        <v>900</v>
      </c>
      <c r="I6" s="21">
        <v>21</v>
      </c>
      <c r="J6" s="15" t="str">
        <f>IF(I6&lt;=$N$5,"✅ YES","❌ NO (late)")</f>
        <v>❌ NO (late)</v>
      </c>
      <c r="K6" s="53">
        <v>2</v>
      </c>
    </row>
    <row r="7" spans="1:15" ht="49.5" customHeight="1" x14ac:dyDescent="0.2">
      <c r="A7" s="14" t="s">
        <v>18</v>
      </c>
      <c r="B7" s="14" t="s">
        <v>16</v>
      </c>
      <c r="C7" s="18">
        <f>RoS_Forecast!L4</f>
        <v>7.6</v>
      </c>
      <c r="D7" s="19" t="str">
        <f>RoS_Forecast!M4</f>
        <v>🟠 AT RISK</v>
      </c>
      <c r="E7" s="20">
        <v>25</v>
      </c>
      <c r="F7" s="21">
        <v>25</v>
      </c>
      <c r="G7" s="40">
        <v>189</v>
      </c>
      <c r="H7" s="41">
        <f t="shared" si="0"/>
        <v>4725</v>
      </c>
      <c r="I7" s="21">
        <v>35</v>
      </c>
      <c r="J7" s="15" t="str">
        <f>IF(I7&lt;=$N$5,"✅ YES","❌ NO (late)")</f>
        <v>❌ NO (late)</v>
      </c>
      <c r="K7" s="52">
        <v>1</v>
      </c>
    </row>
    <row r="8" spans="1:15" ht="49.5" customHeight="1" x14ac:dyDescent="0.2">
      <c r="A8" s="14" t="s">
        <v>31</v>
      </c>
      <c r="B8" s="14" t="s">
        <v>23</v>
      </c>
      <c r="C8" s="18">
        <f>RoS_Forecast!L3</f>
        <v>1.1000000000000001</v>
      </c>
      <c r="D8" s="19" t="str">
        <f>RoS_Forecast!M3</f>
        <v>🔴 CRITICAL</v>
      </c>
      <c r="E8" s="20">
        <v>50</v>
      </c>
      <c r="F8" s="21">
        <v>50</v>
      </c>
      <c r="G8" s="40">
        <v>44</v>
      </c>
      <c r="H8" s="41">
        <f t="shared" si="0"/>
        <v>2200</v>
      </c>
      <c r="I8" s="21">
        <v>28</v>
      </c>
      <c r="J8" s="15" t="str">
        <f>IF(I8&lt;=$N$5,"✅ YES","❌ NO (late)")</f>
        <v>❌ NO (late)</v>
      </c>
      <c r="K8" s="52">
        <v>1</v>
      </c>
    </row>
    <row r="9" spans="1:15" ht="49.5" customHeight="1" x14ac:dyDescent="0.2">
      <c r="A9" s="14" t="s">
        <v>34</v>
      </c>
      <c r="B9" s="14" t="s">
        <v>16</v>
      </c>
      <c r="C9" s="22" t="s">
        <v>91</v>
      </c>
      <c r="D9" s="22" t="s">
        <v>91</v>
      </c>
      <c r="E9" s="23">
        <v>0</v>
      </c>
      <c r="F9" s="21">
        <v>0</v>
      </c>
      <c r="G9" s="47">
        <v>0</v>
      </c>
      <c r="H9" s="48">
        <v>0</v>
      </c>
      <c r="I9" s="21" t="s">
        <v>91</v>
      </c>
      <c r="J9" s="22" t="s">
        <v>92</v>
      </c>
      <c r="K9" s="21" t="s">
        <v>92</v>
      </c>
    </row>
    <row r="10" spans="1:15" ht="49.5" customHeight="1" x14ac:dyDescent="0.2">
      <c r="A10" s="14" t="s">
        <v>37</v>
      </c>
      <c r="B10" s="14" t="s">
        <v>23</v>
      </c>
      <c r="C10" s="22" t="s">
        <v>91</v>
      </c>
      <c r="D10" s="22" t="s">
        <v>91</v>
      </c>
      <c r="E10" s="23">
        <v>0</v>
      </c>
      <c r="F10" s="21">
        <v>0</v>
      </c>
      <c r="G10" s="47">
        <v>0</v>
      </c>
      <c r="H10" s="48">
        <v>0</v>
      </c>
      <c r="I10" s="21" t="s">
        <v>91</v>
      </c>
      <c r="J10" s="22" t="s">
        <v>92</v>
      </c>
      <c r="K10" s="21" t="s">
        <v>92</v>
      </c>
    </row>
    <row r="11" spans="1:15" ht="49.5" customHeight="1" x14ac:dyDescent="0.2">
      <c r="A11" s="14" t="s">
        <v>28</v>
      </c>
      <c r="B11" s="14" t="s">
        <v>16</v>
      </c>
      <c r="C11" s="22" t="s">
        <v>91</v>
      </c>
      <c r="D11" s="22" t="s">
        <v>91</v>
      </c>
      <c r="E11" s="23">
        <v>0</v>
      </c>
      <c r="F11" s="21">
        <v>0</v>
      </c>
      <c r="G11" s="47">
        <v>0</v>
      </c>
      <c r="H11" s="48">
        <v>0</v>
      </c>
      <c r="I11" s="21" t="s">
        <v>91</v>
      </c>
      <c r="J11" s="22" t="s">
        <v>92</v>
      </c>
      <c r="K11" s="21" t="s">
        <v>92</v>
      </c>
    </row>
    <row r="12" spans="1:15" ht="49.5" customHeight="1" x14ac:dyDescent="0.2">
      <c r="A12" s="14" t="s">
        <v>28</v>
      </c>
      <c r="B12" s="14" t="s">
        <v>23</v>
      </c>
      <c r="C12" s="22" t="s">
        <v>91</v>
      </c>
      <c r="D12" s="22" t="s">
        <v>91</v>
      </c>
      <c r="E12" s="23">
        <v>0</v>
      </c>
      <c r="F12" s="21">
        <v>0</v>
      </c>
      <c r="G12" s="47">
        <v>0</v>
      </c>
      <c r="H12" s="48">
        <v>0</v>
      </c>
      <c r="I12" s="21" t="s">
        <v>91</v>
      </c>
      <c r="J12" s="22" t="s">
        <v>92</v>
      </c>
      <c r="K12" s="21" t="s">
        <v>92</v>
      </c>
    </row>
    <row r="13" spans="1:15" s="58" customFormat="1" x14ac:dyDescent="0.2"/>
    <row r="14" spans="1:15" s="58" customFormat="1" x14ac:dyDescent="0.2"/>
    <row r="15" spans="1:15" s="58" customFormat="1" x14ac:dyDescent="0.2"/>
    <row r="16" spans="1:15" ht="15" customHeight="1" x14ac:dyDescent="0.2">
      <c r="A16" s="57" t="s">
        <v>93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</row>
    <row r="17" spans="1:11" x14ac:dyDescent="0.2">
      <c r="A17" s="49" t="s">
        <v>94</v>
      </c>
      <c r="B17" s="49"/>
      <c r="C17" s="49"/>
      <c r="D17" s="49"/>
      <c r="E17" s="49"/>
      <c r="F17" s="55">
        <f>$N$2</f>
        <v>15000</v>
      </c>
      <c r="G17" s="55"/>
      <c r="H17" s="55"/>
      <c r="I17" s="55"/>
      <c r="J17" s="55"/>
      <c r="K17" s="55"/>
    </row>
    <row r="18" spans="1:11" x14ac:dyDescent="0.2">
      <c r="A18" s="49" t="s">
        <v>95</v>
      </c>
      <c r="B18" s="49"/>
      <c r="C18" s="49"/>
      <c r="D18" s="49"/>
      <c r="E18" s="49"/>
      <c r="F18" s="55">
        <f>H2+H3+H4+H5+H6</f>
        <v>11580</v>
      </c>
      <c r="G18" s="55"/>
      <c r="H18" s="55"/>
      <c r="I18" s="55"/>
      <c r="J18" s="55"/>
      <c r="K18" s="55"/>
    </row>
    <row r="19" spans="1:11" x14ac:dyDescent="0.2">
      <c r="A19" s="49" t="s">
        <v>96</v>
      </c>
      <c r="B19" s="49"/>
      <c r="C19" s="49"/>
      <c r="D19" s="49"/>
      <c r="E19" s="49"/>
      <c r="F19" s="56">
        <f>H17-H18</f>
        <v>0</v>
      </c>
      <c r="G19" s="56"/>
      <c r="H19" s="56"/>
      <c r="I19" s="56"/>
      <c r="J19" s="56"/>
      <c r="K19" s="56"/>
    </row>
    <row r="20" spans="1:11" ht="15" customHeight="1" x14ac:dyDescent="0.2">
      <c r="A20" s="49" t="s">
        <v>97</v>
      </c>
      <c r="B20" s="49"/>
      <c r="C20" s="49"/>
      <c r="D20" s="49"/>
      <c r="E20" s="49"/>
      <c r="F20" s="50" t="s">
        <v>98</v>
      </c>
      <c r="G20" s="50"/>
      <c r="H20" s="50"/>
      <c r="I20" s="50"/>
      <c r="J20" s="50"/>
      <c r="K20" s="50"/>
    </row>
    <row r="21" spans="1:11" ht="15" customHeight="1" x14ac:dyDescent="0.2">
      <c r="A21" s="49" t="s">
        <v>99</v>
      </c>
      <c r="B21" s="49"/>
      <c r="C21" s="49"/>
      <c r="D21" s="49"/>
      <c r="E21" s="49"/>
      <c r="F21" s="50" t="s">
        <v>100</v>
      </c>
      <c r="G21" s="50"/>
      <c r="H21" s="50"/>
      <c r="I21" s="50"/>
      <c r="J21" s="50"/>
      <c r="K21" s="50"/>
    </row>
    <row r="22" spans="1:11" ht="15" customHeight="1" x14ac:dyDescent="0.2">
      <c r="A22" s="49" t="s">
        <v>101</v>
      </c>
      <c r="B22" s="49"/>
      <c r="C22" s="49"/>
      <c r="D22" s="49"/>
      <c r="E22" s="49"/>
      <c r="F22" s="51" t="s">
        <v>102</v>
      </c>
      <c r="G22" s="51"/>
      <c r="H22" s="51"/>
      <c r="I22" s="51"/>
      <c r="J22" s="51"/>
      <c r="K22" s="51"/>
    </row>
    <row r="23" spans="1:11" ht="15" customHeight="1" x14ac:dyDescent="0.2">
      <c r="A23" s="49" t="s">
        <v>103</v>
      </c>
      <c r="B23" s="49"/>
      <c r="C23" s="49"/>
      <c r="D23" s="49"/>
      <c r="E23" s="49"/>
      <c r="F23" s="51" t="s">
        <v>104</v>
      </c>
      <c r="G23" s="51"/>
      <c r="H23" s="51"/>
      <c r="I23" s="51"/>
      <c r="J23" s="51"/>
      <c r="K23" s="51"/>
    </row>
  </sheetData>
  <mergeCells count="16">
    <mergeCell ref="M1:O1"/>
    <mergeCell ref="A16:K16"/>
    <mergeCell ref="A17:E17"/>
    <mergeCell ref="F17:K17"/>
    <mergeCell ref="A18:E18"/>
    <mergeCell ref="F18:K18"/>
    <mergeCell ref="A22:E22"/>
    <mergeCell ref="F22:K22"/>
    <mergeCell ref="A23:E23"/>
    <mergeCell ref="F23:K23"/>
    <mergeCell ref="A19:E19"/>
    <mergeCell ref="F19:K19"/>
    <mergeCell ref="A20:E20"/>
    <mergeCell ref="F20:K20"/>
    <mergeCell ref="A21:E21"/>
    <mergeCell ref="F21:K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Inventory_Raw</vt:lpstr>
      <vt:lpstr>Cleaned_Data</vt:lpstr>
      <vt:lpstr>RoS_Forecast</vt:lpstr>
      <vt:lpstr>Replenishment_Plan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t25164</cp:lastModifiedBy>
  <cp:revision>0</cp:revision>
  <dcterms:created xsi:type="dcterms:W3CDTF">2026-06-01T08:13:26Z</dcterms:created>
  <dcterms:modified xsi:type="dcterms:W3CDTF">2026-06-02T13:58:05Z</dcterms:modified>
  <dc:language>en-US</dc:language>
</cp:coreProperties>
</file>